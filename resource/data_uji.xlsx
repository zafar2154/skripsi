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f4ed61fe0626ee0/Documents/Skripsi/resource/"/>
    </mc:Choice>
  </mc:AlternateContent>
  <xr:revisionPtr revIDLastSave="5" documentId="13_ncr:1_{E5FB141B-1DFD-4E19-8B67-446BC7D85C87}" xr6:coauthVersionLast="47" xr6:coauthVersionMax="47" xr10:uidLastSave="{C0B92E93-8014-4CF2-9598-D28B9E9FDBF3}"/>
  <bookViews>
    <workbookView xWindow="-108" yWindow="-108" windowWidth="23256" windowHeight="12456" xr2:uid="{EBA6B8CB-333D-49C0-AF5E-CC75C6136B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8" i="1" l="1"/>
  <c r="AG11" i="1"/>
  <c r="I9" i="1"/>
  <c r="H9" i="1"/>
  <c r="H10" i="1" s="1"/>
  <c r="H11" i="1" s="1"/>
  <c r="C9" i="1"/>
  <c r="C10" i="1" s="1"/>
  <c r="C11" i="1" s="1"/>
  <c r="D9" i="1"/>
  <c r="D10" i="1" s="1"/>
  <c r="D11" i="1" s="1"/>
  <c r="E9" i="1"/>
  <c r="E10" i="1"/>
  <c r="E11" i="1" s="1"/>
  <c r="AM9" i="1"/>
  <c r="AL9" i="1"/>
  <c r="AK9" i="1"/>
  <c r="AK10" i="1" s="1"/>
  <c r="AK11" i="1" s="1"/>
  <c r="AI9" i="1"/>
  <c r="AH9" i="1"/>
  <c r="AG9" i="1"/>
  <c r="O9" i="1"/>
  <c r="T21" i="1"/>
  <c r="U21" i="1"/>
  <c r="AE26" i="1"/>
  <c r="AD26" i="1"/>
  <c r="AE20" i="1"/>
  <c r="AD20" i="1"/>
  <c r="AE14" i="1"/>
  <c r="AD14" i="1"/>
  <c r="AE8" i="1"/>
  <c r="AD8" i="1"/>
  <c r="T9" i="1"/>
  <c r="U9" i="1"/>
  <c r="W9" i="1"/>
  <c r="X9" i="1"/>
  <c r="N9" i="1"/>
  <c r="Q9" i="1"/>
  <c r="R9" i="1"/>
  <c r="L10" i="1"/>
  <c r="L11" i="1" s="1"/>
  <c r="M9" i="1"/>
  <c r="L9" i="1"/>
</calcChain>
</file>

<file path=xl/sharedStrings.xml><?xml version="1.0" encoding="utf-8"?>
<sst xmlns="http://schemas.openxmlformats.org/spreadsheetml/2006/main" count="254" uniqueCount="183">
  <si>
    <t>Sensor</t>
  </si>
  <si>
    <t>pH buffer 4</t>
  </si>
  <si>
    <t>pH buffer 6.86</t>
  </si>
  <si>
    <t>pH buffer 9.18</t>
  </si>
  <si>
    <t>Suhu Air Tanah</t>
  </si>
  <si>
    <t>Termometer Alkohol</t>
  </si>
  <si>
    <t>TDS Meter</t>
  </si>
  <si>
    <t>Rata2</t>
  </si>
  <si>
    <t>%error</t>
  </si>
  <si>
    <t>Air aquades</t>
  </si>
  <si>
    <t>turbi-xs50</t>
  </si>
  <si>
    <t>Air keran</t>
  </si>
  <si>
    <t>Turbi-xs50</t>
  </si>
  <si>
    <t xml:space="preserve">  Turb=1.0510V </t>
  </si>
  <si>
    <t xml:space="preserve">  Turb=1.0508V </t>
  </si>
  <si>
    <t xml:space="preserve">  Turb=1.0498V </t>
  </si>
  <si>
    <t xml:space="preserve">  Turb=1.0499V </t>
  </si>
  <si>
    <t xml:space="preserve">  Turb=1.0501V </t>
  </si>
  <si>
    <t xml:space="preserve">  Turb=1.0504V </t>
  </si>
  <si>
    <t xml:space="preserve">  Turb=1.0514V </t>
  </si>
  <si>
    <t xml:space="preserve">  Turb=1.0512V </t>
  </si>
  <si>
    <t>idle</t>
  </si>
  <si>
    <t xml:space="preserve">  Turb=0.8711V </t>
  </si>
  <si>
    <t xml:space="preserve">  Turb=0.8712V </t>
  </si>
  <si>
    <t xml:space="preserve">  Turb=0.8710V </t>
  </si>
  <si>
    <t xml:space="preserve">  Turb=0.8709V </t>
  </si>
  <si>
    <t xml:space="preserve"> Turb=1.0627V </t>
  </si>
  <si>
    <t xml:space="preserve">  Turb=1.0628V </t>
  </si>
  <si>
    <t xml:space="preserve">  Turb=1.0625V </t>
  </si>
  <si>
    <t xml:space="preserve">  Turb=1.0630V </t>
  </si>
  <si>
    <t xml:space="preserve">  Turb=1.0623V </t>
  </si>
  <si>
    <t xml:space="preserve">  Turb=1.0626V </t>
  </si>
  <si>
    <t xml:space="preserve">  Turb=1.0622V </t>
  </si>
  <si>
    <t xml:space="preserve">  Turb=1.0621V </t>
  </si>
  <si>
    <t xml:space="preserve">  Turb=1.0624V </t>
  </si>
  <si>
    <t xml:space="preserve">  Turb=1.0631V </t>
  </si>
  <si>
    <t xml:space="preserve">  Turb=1.0629V </t>
  </si>
  <si>
    <t xml:space="preserve">  Turb=1.0620V </t>
  </si>
  <si>
    <t>sensor</t>
  </si>
  <si>
    <t xml:space="preserve"> Turb=1.0453V </t>
  </si>
  <si>
    <t xml:space="preserve">  Turb=1.0529V </t>
  </si>
  <si>
    <t xml:space="preserve">  Turb=1.0483V </t>
  </si>
  <si>
    <t xml:space="preserve">  Turb=1.0513V </t>
  </si>
  <si>
    <t xml:space="preserve">  Turb=1.0485V </t>
  </si>
  <si>
    <t xml:space="preserve">  Turb=1.0474V </t>
  </si>
  <si>
    <t xml:space="preserve">  Turb=1.0509V </t>
  </si>
  <si>
    <t xml:space="preserve">  Turb=1.0516V </t>
  </si>
  <si>
    <t xml:space="preserve">  Turb=1.0518V </t>
  </si>
  <si>
    <t xml:space="preserve">  Turb=1.0521V </t>
  </si>
  <si>
    <t xml:space="preserve">  Turb=1.0494V </t>
  </si>
  <si>
    <t xml:space="preserve">  Turb=1.0491V </t>
  </si>
  <si>
    <t xml:space="preserve">  Turb=0.7871V </t>
  </si>
  <si>
    <t xml:space="preserve">  Turb=0.7838V </t>
  </si>
  <si>
    <t xml:space="preserve">  Turb=0.7788V </t>
  </si>
  <si>
    <t xml:space="preserve">  Turb=0.7929V </t>
  </si>
  <si>
    <t xml:space="preserve">  Turb=0.8103V </t>
  </si>
  <si>
    <t xml:space="preserve">  Turb=0.7964V </t>
  </si>
  <si>
    <t xml:space="preserve">  Turb=0.7907V </t>
  </si>
  <si>
    <t xml:space="preserve">  Turb=0.7820V </t>
  </si>
  <si>
    <t xml:space="preserve">  Turb=0.7884V </t>
  </si>
  <si>
    <t xml:space="preserve">  Turb=0.7805V </t>
  </si>
  <si>
    <t xml:space="preserve">  Turb=0.7671V </t>
  </si>
  <si>
    <t xml:space="preserve">  Turb=0.7800V </t>
  </si>
  <si>
    <t xml:space="preserve">  Turb=0.8012V </t>
  </si>
  <si>
    <t xml:space="preserve">  Turb=0.8005V </t>
  </si>
  <si>
    <t xml:space="preserve">  Turb=0.7949V </t>
  </si>
  <si>
    <t xml:space="preserve">  Turb=0.7966V </t>
  </si>
  <si>
    <t xml:space="preserve">  Turb=0.8041V </t>
  </si>
  <si>
    <t xml:space="preserve">  Turb=0.8108V </t>
  </si>
  <si>
    <t xml:space="preserve">  Turb=0.8158V </t>
  </si>
  <si>
    <t xml:space="preserve">  Turb=0.8008V </t>
  </si>
  <si>
    <t xml:space="preserve">  Turb=0.7873V </t>
  </si>
  <si>
    <t xml:space="preserve">  Turb=0.8131V </t>
  </si>
  <si>
    <t xml:space="preserve">  Turb=0.8084V </t>
  </si>
  <si>
    <t xml:space="preserve">  Turb=0.8026V </t>
  </si>
  <si>
    <t xml:space="preserve">  Turb=1.0189V </t>
  </si>
  <si>
    <t xml:space="preserve">  Turb=1.0195V </t>
  </si>
  <si>
    <t xml:space="preserve">  Turb=1.0197V </t>
  </si>
  <si>
    <t xml:space="preserve">  Turb=1.0199V </t>
  </si>
  <si>
    <t xml:space="preserve">  Turb=1.0200V </t>
  </si>
  <si>
    <t xml:space="preserve">  Turb=1.0201V </t>
  </si>
  <si>
    <t xml:space="preserve"> Turb=1.5083V </t>
  </si>
  <si>
    <t xml:space="preserve">  Turb=1.5051V </t>
  </si>
  <si>
    <t xml:space="preserve">  Turb=1.5069V </t>
  </si>
  <si>
    <t xml:space="preserve">  Turb=1.5058V </t>
  </si>
  <si>
    <t xml:space="preserve">  Turb=1.5059V </t>
  </si>
  <si>
    <t xml:space="preserve">  Turb=1.5062V </t>
  </si>
  <si>
    <t xml:space="preserve">  Turb=1.5063V </t>
  </si>
  <si>
    <t xml:space="preserve">  Turb=1.5081V </t>
  </si>
  <si>
    <t xml:space="preserve">  Turb=1.5067V </t>
  </si>
  <si>
    <t xml:space="preserve">  Turb=1.5072V </t>
  </si>
  <si>
    <t xml:space="preserve">  Turb=1.5066V </t>
  </si>
  <si>
    <t xml:space="preserve">  Turb=1.5077V </t>
  </si>
  <si>
    <t xml:space="preserve">  Turb=1.5079V </t>
  </si>
  <si>
    <t xml:space="preserve">  Turb=1.5068V </t>
  </si>
  <si>
    <t xml:space="preserve">  Turb=1.5076V </t>
  </si>
  <si>
    <t xml:space="preserve"> Turb=1.5524V </t>
  </si>
  <si>
    <t xml:space="preserve">  Turb=1.5969V </t>
  </si>
  <si>
    <t xml:space="preserve">  Turb=1.6284V </t>
  </si>
  <si>
    <t xml:space="preserve">  Turb=1.6018V </t>
  </si>
  <si>
    <t xml:space="preserve">  Turb=1.5935V </t>
  </si>
  <si>
    <t xml:space="preserve">  Turb=1.6051V </t>
  </si>
  <si>
    <t xml:space="preserve">  Turb=1.6063V </t>
  </si>
  <si>
    <t xml:space="preserve">  Turb=1.5986V </t>
  </si>
  <si>
    <t xml:space="preserve">  Turb=1.6027V </t>
  </si>
  <si>
    <t xml:space="preserve">  Turb=1.6023V </t>
  </si>
  <si>
    <t xml:space="preserve">  Turb=1.6036V </t>
  </si>
  <si>
    <t xml:space="preserve">  Turb=1.5931V </t>
  </si>
  <si>
    <t xml:space="preserve">  Turb=1.5932V </t>
  </si>
  <si>
    <t xml:space="preserve">  Turb=1.5985V </t>
  </si>
  <si>
    <t xml:space="preserve">  Turb=1.5998V </t>
  </si>
  <si>
    <t xml:space="preserve">  Turb=1.5983V </t>
  </si>
  <si>
    <t xml:space="preserve">  Turb=1.6000V </t>
  </si>
  <si>
    <t xml:space="preserve">  Turb=1.4194V </t>
  </si>
  <si>
    <t xml:space="preserve">  Turb=1.4171V </t>
  </si>
  <si>
    <t xml:space="preserve">  Turb=1.4223V </t>
  </si>
  <si>
    <t xml:space="preserve">  Turb=1.4166V </t>
  </si>
  <si>
    <t xml:space="preserve">  Turb=1.4167V </t>
  </si>
  <si>
    <t xml:space="preserve">  Turb=1.4176V </t>
  </si>
  <si>
    <t xml:space="preserve">  Turb=1.4213V </t>
  </si>
  <si>
    <t xml:space="preserve">  Turb=1.4165V </t>
  </si>
  <si>
    <t xml:space="preserve">  Turb=1.4179V </t>
  </si>
  <si>
    <t xml:space="preserve">  Turb=1.4183V </t>
  </si>
  <si>
    <t xml:space="preserve">  Turb=1.4175V </t>
  </si>
  <si>
    <t xml:space="preserve">  Turb=1.4159V </t>
  </si>
  <si>
    <t xml:space="preserve">  Turb=1.4157V </t>
  </si>
  <si>
    <t xml:space="preserve">  Turb=1.4144V </t>
  </si>
  <si>
    <t xml:space="preserve">  Turb=1.4123V </t>
  </si>
  <si>
    <t xml:space="preserve">  Turb=1.4138V </t>
  </si>
  <si>
    <t xml:space="preserve">  Turb=1.4113V </t>
  </si>
  <si>
    <t xml:space="preserve">  Turb=1.4086V </t>
  </si>
  <si>
    <t xml:space="preserve">  Turb=1.4080V </t>
  </si>
  <si>
    <t xml:space="preserve">  Turb=1.4078V </t>
  </si>
  <si>
    <t xml:space="preserve"> Turb=1.3341V </t>
  </si>
  <si>
    <t xml:space="preserve">  Turb=1.3339V </t>
  </si>
  <si>
    <t xml:space="preserve">  Turb=1.3319V </t>
  </si>
  <si>
    <t xml:space="preserve">  Turb=1.3294V </t>
  </si>
  <si>
    <t xml:space="preserve">  Turb=1.3317V </t>
  </si>
  <si>
    <t xml:space="preserve">  Turb=1.3333V </t>
  </si>
  <si>
    <t xml:space="preserve">  Turb=1.3360V </t>
  </si>
  <si>
    <t xml:space="preserve">  Turb=1.3338V </t>
  </si>
  <si>
    <t xml:space="preserve">  Turb=1.3434V </t>
  </si>
  <si>
    <t xml:space="preserve">  Turb=1.3427V </t>
  </si>
  <si>
    <t xml:space="preserve">  Turb=1.3478V </t>
  </si>
  <si>
    <t xml:space="preserve">  Turb=1.3574V </t>
  </si>
  <si>
    <t xml:space="preserve">  Turb=1.3631V </t>
  </si>
  <si>
    <t xml:space="preserve">  Turb=1.3578V </t>
  </si>
  <si>
    <t xml:space="preserve">  Turb=1.3467V </t>
  </si>
  <si>
    <t xml:space="preserve">  Turb=1.3332V </t>
  </si>
  <si>
    <t xml:space="preserve">  Turb=1.3364V </t>
  </si>
  <si>
    <t xml:space="preserve">  Turb=1.2986V </t>
  </si>
  <si>
    <t xml:space="preserve">  Turb=1.3343V </t>
  </si>
  <si>
    <t xml:space="preserve">  Turb=1.3502V </t>
  </si>
  <si>
    <t xml:space="preserve">  Turb=1.3363V </t>
  </si>
  <si>
    <t xml:space="preserve">  Turb=1.3472V </t>
  </si>
  <si>
    <t xml:space="preserve">  Turb=1.3382V </t>
  </si>
  <si>
    <t xml:space="preserve">  Turb=1.3482V </t>
  </si>
  <si>
    <t>Air bedak</t>
  </si>
  <si>
    <t>Air keruh</t>
  </si>
  <si>
    <t>Air Sangat Keruh</t>
  </si>
  <si>
    <t>ntu</t>
  </si>
  <si>
    <t>voltage</t>
  </si>
  <si>
    <t>pH 9.18</t>
  </si>
  <si>
    <t>tegangan Sensor</t>
  </si>
  <si>
    <t>Tegangan Sensor</t>
  </si>
  <si>
    <t>Error</t>
  </si>
  <si>
    <t>GPS Neo U-BLOX M8N</t>
  </si>
  <si>
    <t>Google Maps</t>
  </si>
  <si>
    <t>Selisih Jarak</t>
  </si>
  <si>
    <t>D</t>
  </si>
  <si>
    <t>%Akurasi</t>
  </si>
  <si>
    <t>TDS Air</t>
  </si>
  <si>
    <t>Longitude, Latitude</t>
  </si>
  <si>
    <t>-6.355106, 106.775095</t>
  </si>
  <si>
    <t>-6.354897, 106.77518</t>
  </si>
  <si>
    <t xml:space="preserve"> -6.312764, 106.793327</t>
  </si>
  <si>
    <t>-6.312687,106.793267</t>
  </si>
  <si>
    <t>-6.312764, 106.793328</t>
  </si>
  <si>
    <t>-6.312687,106.793268</t>
  </si>
  <si>
    <t>-6.312687,106.793269</t>
  </si>
  <si>
    <t>-6.312687,106.793270</t>
  </si>
  <si>
    <t xml:space="preserve"> -6.312765, 106.793329</t>
  </si>
  <si>
    <t>-6.312765, 106.793330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</si>
</sst>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164" fontId="0" fillId="0" borderId="1" xfId="1" applyNumberFormat="1" applyFont="1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4" fontId="0" fillId="0" borderId="0" xfId="1" applyNumberFormat="1" applyFont="1" applyFill="1" applyBorder="1"/>
    <xf numFmtId="0" fontId="0" fillId="5" borderId="0" xfId="0" applyFill="1"/>
    <xf numFmtId="164" fontId="0" fillId="5" borderId="0" xfId="1" applyNumberFormat="1" applyFont="1" applyFill="1"/>
    <xf numFmtId="164" fontId="0" fillId="5" borderId="0" xfId="0" applyNumberFormat="1" applyFill="1"/>
    <xf numFmtId="164" fontId="0" fillId="5" borderId="1" xfId="0" applyNumberFormat="1" applyFill="1" applyBorder="1"/>
    <xf numFmtId="164" fontId="0" fillId="2" borderId="1" xfId="0" applyNumberFormat="1" applyFill="1" applyBorder="1"/>
    <xf numFmtId="0" fontId="0" fillId="5" borderId="0" xfId="0" applyFill="1" applyAlignment="1">
      <alignment horizontal="center" vertical="center"/>
    </xf>
    <xf numFmtId="0" fontId="2" fillId="2" borderId="1" xfId="0" applyFont="1" applyFill="1" applyBorder="1"/>
    <xf numFmtId="0" fontId="2" fillId="0" borderId="1" xfId="0" applyFont="1" applyBorder="1"/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0" borderId="2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5" borderId="2" xfId="0" applyNumberFormat="1" applyFill="1" applyBorder="1" applyAlignment="1">
      <alignment horizontal="center"/>
    </xf>
    <xf numFmtId="164" fontId="0" fillId="5" borderId="4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4" fontId="0" fillId="5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0" borderId="1" xfId="0" quotePrefix="1" applyFont="1" applyBorder="1"/>
    <xf numFmtId="0" fontId="2" fillId="0" borderId="1" xfId="0" applyFont="1" applyBorder="1" applyAlignment="1"/>
    <xf numFmtId="0" fontId="2" fillId="0" borderId="1" xfId="0" quotePrefix="1" applyFont="1" applyBorder="1" applyAlignment="1"/>
    <xf numFmtId="0" fontId="0" fillId="5" borderId="1" xfId="0" applyFill="1" applyBorder="1"/>
    <xf numFmtId="0" fontId="0" fillId="0" borderId="1" xfId="0" quotePrefix="1" applyBorder="1"/>
    <xf numFmtId="0" fontId="0" fillId="0" borderId="1" xfId="0" applyBorder="1" applyAlignment="1">
      <alignment horizontal="center"/>
    </xf>
    <xf numFmtId="0" fontId="2" fillId="0" borderId="0" xfId="0" applyFont="1" applyBorder="1" applyAlignment="1"/>
    <xf numFmtId="0" fontId="0" fillId="2" borderId="1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Persamaan kalibrasi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Sheet1!$AD$3:$AD$38</c:f>
              <c:numCache>
                <c:formatCode>General</c:formatCode>
                <c:ptCount val="36"/>
                <c:pt idx="0">
                  <c:v>1.2909999999999999</c:v>
                </c:pt>
                <c:pt idx="1">
                  <c:v>1.2889999999999999</c:v>
                </c:pt>
                <c:pt idx="2">
                  <c:v>1.288</c:v>
                </c:pt>
                <c:pt idx="3">
                  <c:v>1.288</c:v>
                </c:pt>
                <c:pt idx="4">
                  <c:v>1.288</c:v>
                </c:pt>
                <c:pt idx="5">
                  <c:v>1.2888000000000002</c:v>
                </c:pt>
                <c:pt idx="6">
                  <c:v>1.282</c:v>
                </c:pt>
                <c:pt idx="7">
                  <c:v>1.2829999999999999</c:v>
                </c:pt>
                <c:pt idx="8">
                  <c:v>1.282</c:v>
                </c:pt>
                <c:pt idx="9">
                  <c:v>1.284</c:v>
                </c:pt>
                <c:pt idx="10">
                  <c:v>1.284</c:v>
                </c:pt>
                <c:pt idx="11">
                  <c:v>1.2829999999999999</c:v>
                </c:pt>
                <c:pt idx="12">
                  <c:v>1.2769999999999999</c:v>
                </c:pt>
                <c:pt idx="13">
                  <c:v>1.276</c:v>
                </c:pt>
                <c:pt idx="14">
                  <c:v>1.2769999999999999</c:v>
                </c:pt>
                <c:pt idx="15">
                  <c:v>1.278</c:v>
                </c:pt>
                <c:pt idx="16">
                  <c:v>1.2769999999999999</c:v>
                </c:pt>
                <c:pt idx="17">
                  <c:v>1.2770000000000001</c:v>
                </c:pt>
                <c:pt idx="18">
                  <c:v>1.21</c:v>
                </c:pt>
                <c:pt idx="19">
                  <c:v>1.2130000000000001</c:v>
                </c:pt>
                <c:pt idx="20">
                  <c:v>1.214</c:v>
                </c:pt>
                <c:pt idx="21">
                  <c:v>1.2150000000000001</c:v>
                </c:pt>
                <c:pt idx="22">
                  <c:v>1.2130000000000001</c:v>
                </c:pt>
                <c:pt idx="23">
                  <c:v>1.2130000000000001</c:v>
                </c:pt>
                <c:pt idx="24">
                  <c:v>1.08</c:v>
                </c:pt>
                <c:pt idx="25">
                  <c:v>1.093</c:v>
                </c:pt>
                <c:pt idx="26">
                  <c:v>1.0880000000000001</c:v>
                </c:pt>
                <c:pt idx="27">
                  <c:v>1.101</c:v>
                </c:pt>
                <c:pt idx="28">
                  <c:v>1.1040000000000001</c:v>
                </c:pt>
                <c:pt idx="29">
                  <c:v>1.109</c:v>
                </c:pt>
              </c:numCache>
            </c:numRef>
          </c:xVal>
          <c:yVal>
            <c:numRef>
              <c:f>Sheet1!$AE$3:$AE$38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8.49</c:v>
                </c:pt>
                <c:pt idx="7">
                  <c:v>8.67</c:v>
                </c:pt>
                <c:pt idx="8">
                  <c:v>8.6199999999999992</c:v>
                </c:pt>
                <c:pt idx="9">
                  <c:v>8.98</c:v>
                </c:pt>
                <c:pt idx="10">
                  <c:v>8.58</c:v>
                </c:pt>
                <c:pt idx="11">
                  <c:v>8.668000000000001</c:v>
                </c:pt>
                <c:pt idx="12">
                  <c:v>26.9</c:v>
                </c:pt>
                <c:pt idx="13">
                  <c:v>26.9</c:v>
                </c:pt>
                <c:pt idx="14">
                  <c:v>25.8</c:v>
                </c:pt>
                <c:pt idx="15">
                  <c:v>25.4</c:v>
                </c:pt>
                <c:pt idx="16">
                  <c:v>25.6</c:v>
                </c:pt>
                <c:pt idx="17">
                  <c:v>26.119999999999997</c:v>
                </c:pt>
                <c:pt idx="18">
                  <c:v>240</c:v>
                </c:pt>
                <c:pt idx="19">
                  <c:v>245</c:v>
                </c:pt>
                <c:pt idx="20">
                  <c:v>238</c:v>
                </c:pt>
                <c:pt idx="21">
                  <c:v>236</c:v>
                </c:pt>
                <c:pt idx="22">
                  <c:v>234</c:v>
                </c:pt>
                <c:pt idx="23">
                  <c:v>238.6</c:v>
                </c:pt>
                <c:pt idx="24">
                  <c:v>681</c:v>
                </c:pt>
                <c:pt idx="25">
                  <c:v>658</c:v>
                </c:pt>
                <c:pt idx="26">
                  <c:v>644</c:v>
                </c:pt>
                <c:pt idx="27">
                  <c:v>627</c:v>
                </c:pt>
                <c:pt idx="28">
                  <c:v>610</c:v>
                </c:pt>
                <c:pt idx="29">
                  <c:v>595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A-4815-848B-1DC5407C2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8324591"/>
        <c:axId val="1988323151"/>
      </c:scatterChart>
      <c:valAx>
        <c:axId val="198832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23151"/>
        <c:crosses val="autoZero"/>
        <c:crossBetween val="midCat"/>
      </c:valAx>
      <c:valAx>
        <c:axId val="1988323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NTU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245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Persamaan Kalibrasi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Sheet1!$C$25:$C$39</c:f>
              <c:numCache>
                <c:formatCode>General</c:formatCode>
                <c:ptCount val="15"/>
                <c:pt idx="0">
                  <c:v>3.0529999999999999</c:v>
                </c:pt>
                <c:pt idx="1">
                  <c:v>3.0529999999999999</c:v>
                </c:pt>
                <c:pt idx="2">
                  <c:v>3.0510000000000002</c:v>
                </c:pt>
                <c:pt idx="3">
                  <c:v>3.0529999999999999</c:v>
                </c:pt>
                <c:pt idx="4">
                  <c:v>3.0539999999999998</c:v>
                </c:pt>
                <c:pt idx="5">
                  <c:v>2.601</c:v>
                </c:pt>
                <c:pt idx="6">
                  <c:v>2.6040000000000001</c:v>
                </c:pt>
                <c:pt idx="7">
                  <c:v>2.605</c:v>
                </c:pt>
                <c:pt idx="8">
                  <c:v>2.605</c:v>
                </c:pt>
                <c:pt idx="9">
                  <c:v>2.605</c:v>
                </c:pt>
                <c:pt idx="10">
                  <c:v>2.2639999999999998</c:v>
                </c:pt>
                <c:pt idx="11">
                  <c:v>2.2639999999999998</c:v>
                </c:pt>
                <c:pt idx="12">
                  <c:v>2.2639999999999998</c:v>
                </c:pt>
                <c:pt idx="13">
                  <c:v>2.2599999999999998</c:v>
                </c:pt>
                <c:pt idx="14">
                  <c:v>2.2610000000000001</c:v>
                </c:pt>
              </c:numCache>
            </c:numRef>
          </c:xVal>
          <c:yVal>
            <c:numRef>
              <c:f>Sheet1!$D$25:$D$39</c:f>
              <c:numCache>
                <c:formatCode>General</c:formatCode>
                <c:ptCount val="15"/>
                <c:pt idx="0">
                  <c:v>4.01</c:v>
                </c:pt>
                <c:pt idx="1">
                  <c:v>4.01</c:v>
                </c:pt>
                <c:pt idx="2">
                  <c:v>4.01</c:v>
                </c:pt>
                <c:pt idx="3">
                  <c:v>4.01</c:v>
                </c:pt>
                <c:pt idx="4">
                  <c:v>4.01</c:v>
                </c:pt>
                <c:pt idx="5">
                  <c:v>6.85</c:v>
                </c:pt>
                <c:pt idx="6">
                  <c:v>6.85</c:v>
                </c:pt>
                <c:pt idx="7">
                  <c:v>6.85</c:v>
                </c:pt>
                <c:pt idx="8">
                  <c:v>6.85</c:v>
                </c:pt>
                <c:pt idx="9">
                  <c:v>6.85</c:v>
                </c:pt>
                <c:pt idx="10">
                  <c:v>9.14</c:v>
                </c:pt>
                <c:pt idx="11">
                  <c:v>9.14</c:v>
                </c:pt>
                <c:pt idx="12">
                  <c:v>9.14</c:v>
                </c:pt>
                <c:pt idx="13">
                  <c:v>9.14</c:v>
                </c:pt>
                <c:pt idx="14">
                  <c:v>9.14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BD-49BB-B8C8-49883C6D3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97104"/>
        <c:axId val="191786064"/>
      </c:scatterChart>
      <c:valAx>
        <c:axId val="191797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Tegangan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86064"/>
        <c:crosses val="autoZero"/>
        <c:crossBetween val="midCat"/>
      </c:valAx>
      <c:valAx>
        <c:axId val="191786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97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205740</xdr:colOff>
      <xdr:row>12</xdr:row>
      <xdr:rowOff>34290</xdr:rowOff>
    </xdr:from>
    <xdr:to>
      <xdr:col>39</xdr:col>
      <xdr:colOff>510540</xdr:colOff>
      <xdr:row>27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AC0B065-6C37-C69B-6D6A-80EF8E9398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256780</xdr:colOff>
      <xdr:row>21</xdr:row>
      <xdr:rowOff>167763</xdr:rowOff>
    </xdr:from>
    <xdr:to>
      <xdr:col>10</xdr:col>
      <xdr:colOff>373538</xdr:colOff>
      <xdr:row>36</xdr:row>
      <xdr:rowOff>145641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53388-AD1F-D6C4-3B0A-61CC2A5800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C533F-0D28-4D47-9A95-D77A8FCEB1F0}">
  <dimension ref="A1:BH56"/>
  <sheetViews>
    <sheetView tabSelected="1" topLeftCell="W1" zoomScale="93" zoomScaleNormal="136" workbookViewId="0">
      <selection activeCell="U15" sqref="U15"/>
    </sheetView>
  </sheetViews>
  <sheetFormatPr defaultRowHeight="14.4" x14ac:dyDescent="0.3"/>
  <cols>
    <col min="2" max="2" width="11.21875" customWidth="1"/>
    <col min="3" max="3" width="21.21875" customWidth="1"/>
    <col min="4" max="4" width="20.6640625" customWidth="1"/>
    <col min="5" max="5" width="15.5546875" customWidth="1"/>
    <col min="7" max="7" width="9.21875" customWidth="1"/>
    <col min="8" max="8" width="18.109375" customWidth="1"/>
    <col min="10" max="10" width="8.33203125" customWidth="1"/>
    <col min="11" max="11" width="10.88671875" customWidth="1"/>
    <col min="12" max="12" width="10.33203125" customWidth="1"/>
    <col min="13" max="13" width="20.109375" customWidth="1"/>
    <col min="18" max="18" width="10.77734375" customWidth="1"/>
    <col min="19" max="19" width="7.6640625" customWidth="1"/>
    <col min="24" max="24" width="10.5546875" customWidth="1"/>
    <col min="27" max="27" width="11.44140625" customWidth="1"/>
    <col min="35" max="35" width="10" customWidth="1"/>
    <col min="39" max="39" width="10.77734375" customWidth="1"/>
  </cols>
  <sheetData>
    <row r="1" spans="1:60" x14ac:dyDescent="0.3">
      <c r="A1" s="9"/>
      <c r="B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F1" s="9"/>
      <c r="AG1" s="9"/>
      <c r="AH1" s="9"/>
      <c r="AI1" s="9"/>
      <c r="AJ1" s="9"/>
      <c r="AK1" s="9"/>
      <c r="AL1" s="9"/>
      <c r="AM1" s="9"/>
      <c r="AN1" s="9"/>
    </row>
    <row r="2" spans="1:60" x14ac:dyDescent="0.3">
      <c r="A2" s="9"/>
      <c r="B2" s="9"/>
      <c r="C2" s="1" t="s">
        <v>1</v>
      </c>
      <c r="D2" s="1" t="s">
        <v>2</v>
      </c>
      <c r="E2" s="1" t="s">
        <v>3</v>
      </c>
      <c r="F2" s="9"/>
      <c r="G2" s="9"/>
      <c r="H2" s="28" t="s">
        <v>171</v>
      </c>
      <c r="I2" s="29"/>
      <c r="J2" s="9"/>
      <c r="K2" s="9"/>
      <c r="L2" s="22" t="s">
        <v>4</v>
      </c>
      <c r="M2" s="22"/>
      <c r="N2" s="22" t="s">
        <v>9</v>
      </c>
      <c r="O2" s="22"/>
      <c r="P2" s="9"/>
      <c r="Q2" s="22" t="s">
        <v>11</v>
      </c>
      <c r="R2" s="22"/>
      <c r="S2" s="9"/>
      <c r="T2" s="22" t="s">
        <v>157</v>
      </c>
      <c r="U2" s="22"/>
      <c r="V2" s="9"/>
      <c r="W2" s="22" t="s">
        <v>158</v>
      </c>
      <c r="X2" s="22"/>
      <c r="Y2" s="9"/>
      <c r="Z2" s="22" t="s">
        <v>159</v>
      </c>
      <c r="AA2" s="22"/>
      <c r="AB2" s="9"/>
      <c r="AF2" s="14"/>
      <c r="AG2" s="17" t="s">
        <v>9</v>
      </c>
      <c r="AH2" s="18"/>
      <c r="AI2" s="19"/>
      <c r="AJ2" s="14"/>
      <c r="AK2" s="17" t="s">
        <v>158</v>
      </c>
      <c r="AL2" s="18"/>
      <c r="AM2" s="19"/>
      <c r="AN2" s="9"/>
    </row>
    <row r="3" spans="1:60" x14ac:dyDescent="0.3">
      <c r="A3" s="9"/>
      <c r="B3" s="9"/>
      <c r="C3" s="2" t="s">
        <v>0</v>
      </c>
      <c r="D3" s="2" t="s">
        <v>0</v>
      </c>
      <c r="E3" s="2" t="s">
        <v>0</v>
      </c>
      <c r="F3" s="9"/>
      <c r="G3" s="9"/>
      <c r="H3" s="1" t="s">
        <v>0</v>
      </c>
      <c r="I3" s="1" t="s">
        <v>6</v>
      </c>
      <c r="J3" s="9"/>
      <c r="K3" s="9"/>
      <c r="L3" s="1" t="s">
        <v>0</v>
      </c>
      <c r="M3" s="1" t="s">
        <v>5</v>
      </c>
      <c r="N3" s="1" t="s">
        <v>0</v>
      </c>
      <c r="O3" s="1" t="s">
        <v>10</v>
      </c>
      <c r="P3" s="9"/>
      <c r="Q3" s="1" t="s">
        <v>0</v>
      </c>
      <c r="R3" s="1" t="s">
        <v>12</v>
      </c>
      <c r="S3" s="9"/>
      <c r="T3" s="1" t="s">
        <v>0</v>
      </c>
      <c r="U3" s="1" t="s">
        <v>12</v>
      </c>
      <c r="V3" s="9"/>
      <c r="W3" s="1" t="s">
        <v>38</v>
      </c>
      <c r="X3" s="1" t="s">
        <v>12</v>
      </c>
      <c r="Y3" s="9"/>
      <c r="Z3" s="1" t="s">
        <v>0</v>
      </c>
      <c r="AA3" s="1" t="s">
        <v>12</v>
      </c>
      <c r="AB3" s="9"/>
      <c r="AD3">
        <v>1.2909999999999999</v>
      </c>
      <c r="AE3">
        <v>0</v>
      </c>
      <c r="AF3" s="14"/>
      <c r="AG3" s="6" t="s">
        <v>160</v>
      </c>
      <c r="AH3" s="6" t="s">
        <v>161</v>
      </c>
      <c r="AI3" s="6" t="s">
        <v>10</v>
      </c>
      <c r="AJ3" s="14"/>
      <c r="AK3" s="6" t="s">
        <v>160</v>
      </c>
      <c r="AL3" s="6" t="s">
        <v>161</v>
      </c>
      <c r="AM3" s="6" t="s">
        <v>10</v>
      </c>
      <c r="AN3" s="9"/>
    </row>
    <row r="4" spans="1:60" x14ac:dyDescent="0.3">
      <c r="A4" s="9"/>
      <c r="B4" s="9"/>
      <c r="C4" s="3">
        <v>4.05</v>
      </c>
      <c r="D4" s="3">
        <v>6.73</v>
      </c>
      <c r="E4" s="3">
        <v>8.9600000000000009</v>
      </c>
      <c r="F4" s="9"/>
      <c r="G4" s="9"/>
      <c r="H4" s="3">
        <v>119</v>
      </c>
      <c r="I4" s="3">
        <v>117</v>
      </c>
      <c r="J4" s="9"/>
      <c r="K4" s="9"/>
      <c r="L4" s="3">
        <v>30.1</v>
      </c>
      <c r="M4" s="3">
        <v>30</v>
      </c>
      <c r="N4" s="3">
        <v>1.2909999999999999</v>
      </c>
      <c r="O4" s="3">
        <v>0</v>
      </c>
      <c r="P4" s="9"/>
      <c r="Q4" s="3">
        <v>1.282</v>
      </c>
      <c r="R4" s="3">
        <v>8.49</v>
      </c>
      <c r="S4" s="9"/>
      <c r="T4" s="3">
        <v>1.2769999999999999</v>
      </c>
      <c r="U4" s="3">
        <v>26.9</v>
      </c>
      <c r="V4" s="9"/>
      <c r="W4" s="3">
        <v>1.21</v>
      </c>
      <c r="X4" s="3">
        <v>240</v>
      </c>
      <c r="Y4" s="9"/>
      <c r="Z4" s="3">
        <v>1.08</v>
      </c>
      <c r="AA4" s="3">
        <v>681</v>
      </c>
      <c r="AB4" s="9"/>
      <c r="AD4">
        <v>1.2889999999999999</v>
      </c>
      <c r="AE4">
        <v>0</v>
      </c>
      <c r="AF4" s="14"/>
      <c r="AG4" s="5">
        <v>0</v>
      </c>
      <c r="AH4" s="5">
        <v>1.2909999999999999</v>
      </c>
      <c r="AI4" s="5">
        <v>0</v>
      </c>
      <c r="AJ4" s="14"/>
      <c r="AK4" s="5">
        <v>529.4</v>
      </c>
      <c r="AL4" s="5">
        <v>1.127</v>
      </c>
      <c r="AM4" s="5">
        <v>533</v>
      </c>
      <c r="AN4" s="9"/>
      <c r="AY4" t="s">
        <v>113</v>
      </c>
      <c r="AZ4" t="s">
        <v>81</v>
      </c>
      <c r="BB4" t="s">
        <v>26</v>
      </c>
      <c r="BD4" t="s">
        <v>133</v>
      </c>
      <c r="BF4" t="s">
        <v>39</v>
      </c>
      <c r="BH4" t="s">
        <v>51</v>
      </c>
    </row>
    <row r="5" spans="1:60" x14ac:dyDescent="0.3">
      <c r="A5" s="9"/>
      <c r="B5" s="9"/>
      <c r="C5" s="3">
        <v>4.1399999999999997</v>
      </c>
      <c r="D5" s="3">
        <v>6.78</v>
      </c>
      <c r="E5" s="3">
        <v>8.9600000000000009</v>
      </c>
      <c r="F5" s="9"/>
      <c r="G5" s="9"/>
      <c r="H5" s="3">
        <v>120</v>
      </c>
      <c r="I5" s="3">
        <v>117</v>
      </c>
      <c r="J5" s="9"/>
      <c r="K5" s="9"/>
      <c r="L5" s="3">
        <v>30.1</v>
      </c>
      <c r="M5" s="3">
        <v>30</v>
      </c>
      <c r="N5" s="3">
        <v>1.2889999999999999</v>
      </c>
      <c r="O5" s="3">
        <v>0</v>
      </c>
      <c r="P5" s="9"/>
      <c r="Q5" s="3">
        <v>1.2829999999999999</v>
      </c>
      <c r="R5" s="3">
        <v>8.67</v>
      </c>
      <c r="S5" s="9"/>
      <c r="T5" s="3">
        <v>1.276</v>
      </c>
      <c r="U5" s="3">
        <v>26.9</v>
      </c>
      <c r="V5" s="9"/>
      <c r="W5" s="3">
        <v>1.2130000000000001</v>
      </c>
      <c r="X5" s="3">
        <v>245</v>
      </c>
      <c r="Y5" s="9"/>
      <c r="Z5" s="3">
        <v>1.093</v>
      </c>
      <c r="AA5" s="3">
        <v>658</v>
      </c>
      <c r="AB5" s="9"/>
      <c r="AD5">
        <v>1.288</v>
      </c>
      <c r="AE5">
        <v>0</v>
      </c>
      <c r="AF5" s="14"/>
      <c r="AG5" s="5">
        <v>0</v>
      </c>
      <c r="AH5" s="5">
        <v>1.2909999999999999</v>
      </c>
      <c r="AI5" s="5">
        <v>0</v>
      </c>
      <c r="AJ5" s="14"/>
      <c r="AK5" s="5">
        <v>534</v>
      </c>
      <c r="AL5" s="5">
        <v>1.1259999999999999</v>
      </c>
      <c r="AM5" s="5">
        <v>533</v>
      </c>
      <c r="AN5" s="9"/>
      <c r="AY5" t="s">
        <v>114</v>
      </c>
      <c r="AZ5" t="s">
        <v>82</v>
      </c>
      <c r="BB5" t="s">
        <v>27</v>
      </c>
      <c r="BD5" t="s">
        <v>134</v>
      </c>
      <c r="BF5" t="s">
        <v>17</v>
      </c>
      <c r="BH5" t="s">
        <v>52</v>
      </c>
    </row>
    <row r="6" spans="1:60" x14ac:dyDescent="0.3">
      <c r="A6" s="9"/>
      <c r="B6" s="9"/>
      <c r="C6" s="3">
        <v>4.0999999999999996</v>
      </c>
      <c r="D6" s="3">
        <v>6.75</v>
      </c>
      <c r="E6" s="3">
        <v>8.9499999999999993</v>
      </c>
      <c r="F6" s="9"/>
      <c r="G6" s="9"/>
      <c r="H6" s="3">
        <v>119</v>
      </c>
      <c r="I6" s="3">
        <v>117</v>
      </c>
      <c r="J6" s="9"/>
      <c r="K6" s="9"/>
      <c r="L6" s="3">
        <v>30.1</v>
      </c>
      <c r="M6" s="3">
        <v>30</v>
      </c>
      <c r="N6" s="3">
        <v>1.288</v>
      </c>
      <c r="O6" s="3">
        <v>0</v>
      </c>
      <c r="P6" s="9"/>
      <c r="Q6" s="3">
        <v>1.282</v>
      </c>
      <c r="R6" s="3">
        <v>8.6199999999999992</v>
      </c>
      <c r="S6" s="9"/>
      <c r="T6" s="3">
        <v>1.2769999999999999</v>
      </c>
      <c r="U6" s="3">
        <v>25.8</v>
      </c>
      <c r="V6" s="9"/>
      <c r="W6" s="3">
        <v>1.214</v>
      </c>
      <c r="X6" s="3">
        <v>238</v>
      </c>
      <c r="Y6" s="9"/>
      <c r="Z6" s="3">
        <v>1.0880000000000001</v>
      </c>
      <c r="AA6" s="3">
        <v>644</v>
      </c>
      <c r="AB6" s="9"/>
      <c r="AD6">
        <v>1.288</v>
      </c>
      <c r="AE6">
        <v>0</v>
      </c>
      <c r="AF6" s="14"/>
      <c r="AG6" s="5">
        <v>0</v>
      </c>
      <c r="AH6" s="5">
        <v>1.2909999999999999</v>
      </c>
      <c r="AI6" s="5">
        <v>0</v>
      </c>
      <c r="AJ6" s="14"/>
      <c r="AK6" s="5">
        <v>530.5</v>
      </c>
      <c r="AL6" s="5">
        <v>1.127</v>
      </c>
      <c r="AM6" s="5">
        <v>533</v>
      </c>
      <c r="AN6" s="9"/>
      <c r="AY6" t="s">
        <v>115</v>
      </c>
      <c r="AZ6" t="s">
        <v>83</v>
      </c>
      <c r="BB6" t="s">
        <v>27</v>
      </c>
      <c r="BD6" t="s">
        <v>135</v>
      </c>
      <c r="BF6" t="s">
        <v>17</v>
      </c>
      <c r="BH6" t="s">
        <v>53</v>
      </c>
    </row>
    <row r="7" spans="1:60" x14ac:dyDescent="0.3">
      <c r="A7" s="9"/>
      <c r="B7" s="9"/>
      <c r="C7" s="3">
        <v>3.98</v>
      </c>
      <c r="D7" s="3">
        <v>6.75</v>
      </c>
      <c r="E7" s="3">
        <v>8.9499999999999993</v>
      </c>
      <c r="F7" s="9"/>
      <c r="G7" s="9"/>
      <c r="H7" s="3">
        <v>119</v>
      </c>
      <c r="I7" s="3">
        <v>117</v>
      </c>
      <c r="J7" s="9"/>
      <c r="K7" s="9"/>
      <c r="L7" s="3">
        <v>30.1</v>
      </c>
      <c r="M7" s="3">
        <v>30</v>
      </c>
      <c r="N7" s="3">
        <v>1.288</v>
      </c>
      <c r="O7" s="3">
        <v>0</v>
      </c>
      <c r="P7" s="9"/>
      <c r="Q7" s="3">
        <v>1.284</v>
      </c>
      <c r="R7" s="3">
        <v>8.98</v>
      </c>
      <c r="S7" s="9"/>
      <c r="T7" s="3">
        <v>1.278</v>
      </c>
      <c r="U7" s="3">
        <v>25.4</v>
      </c>
      <c r="V7" s="9"/>
      <c r="W7" s="3">
        <v>1.2150000000000001</v>
      </c>
      <c r="X7" s="3">
        <v>236</v>
      </c>
      <c r="Y7" s="9"/>
      <c r="Z7" s="3">
        <v>1.101</v>
      </c>
      <c r="AA7" s="3">
        <v>627</v>
      </c>
      <c r="AB7" s="9"/>
      <c r="AD7">
        <v>1.288</v>
      </c>
      <c r="AE7">
        <v>0</v>
      </c>
      <c r="AF7" s="14"/>
      <c r="AG7" s="5">
        <v>0</v>
      </c>
      <c r="AH7" s="5">
        <v>1.292</v>
      </c>
      <c r="AI7" s="5">
        <v>0</v>
      </c>
      <c r="AJ7" s="14"/>
      <c r="AK7" s="5">
        <v>547</v>
      </c>
      <c r="AL7" s="5">
        <v>1.1220000000000001</v>
      </c>
      <c r="AM7" s="5">
        <v>549</v>
      </c>
      <c r="AN7" s="9"/>
      <c r="AY7" t="s">
        <v>116</v>
      </c>
      <c r="AZ7" t="s">
        <v>84</v>
      </c>
      <c r="BB7" t="s">
        <v>28</v>
      </c>
      <c r="BD7" t="s">
        <v>136</v>
      </c>
      <c r="BF7" t="s">
        <v>40</v>
      </c>
      <c r="BH7" t="s">
        <v>54</v>
      </c>
    </row>
    <row r="8" spans="1:60" x14ac:dyDescent="0.3">
      <c r="A8" s="9"/>
      <c r="B8" s="9"/>
      <c r="C8" s="3">
        <v>3.87</v>
      </c>
      <c r="D8" s="3">
        <v>6.78</v>
      </c>
      <c r="E8" s="3">
        <v>8.93</v>
      </c>
      <c r="F8" s="9"/>
      <c r="G8" s="9"/>
      <c r="H8" s="3">
        <v>119</v>
      </c>
      <c r="I8" s="3">
        <v>117</v>
      </c>
      <c r="J8" s="9"/>
      <c r="K8" s="9"/>
      <c r="L8" s="3">
        <v>30.1</v>
      </c>
      <c r="M8" s="3">
        <v>30</v>
      </c>
      <c r="N8" s="3">
        <v>1.288</v>
      </c>
      <c r="O8" s="3">
        <v>0</v>
      </c>
      <c r="P8" s="9"/>
      <c r="Q8" s="3">
        <v>1.284</v>
      </c>
      <c r="R8" s="3">
        <v>8.58</v>
      </c>
      <c r="S8" s="9"/>
      <c r="T8" s="3">
        <v>1.2769999999999999</v>
      </c>
      <c r="U8" s="3">
        <v>25.6</v>
      </c>
      <c r="V8" s="9"/>
      <c r="W8" s="3">
        <v>1.2130000000000001</v>
      </c>
      <c r="X8" s="3">
        <v>234</v>
      </c>
      <c r="Y8" s="9"/>
      <c r="Z8" s="3">
        <v>1.1040000000000001</v>
      </c>
      <c r="AA8" s="3">
        <v>610</v>
      </c>
      <c r="AB8" s="9"/>
      <c r="AD8">
        <f>AVERAGE(AD3:AD7)</f>
        <v>1.2888000000000002</v>
      </c>
      <c r="AE8">
        <f>AVERAGE(AE3:AE7)</f>
        <v>0</v>
      </c>
      <c r="AF8" s="14"/>
      <c r="AG8" s="5">
        <v>0</v>
      </c>
      <c r="AH8" s="5">
        <v>1.2909999999999999</v>
      </c>
      <c r="AI8" s="5">
        <v>0</v>
      </c>
      <c r="AJ8" s="14"/>
      <c r="AK8" s="5">
        <v>551.5</v>
      </c>
      <c r="AL8" s="5">
        <v>1.1200000000000001</v>
      </c>
      <c r="AM8" s="5">
        <v>549</v>
      </c>
      <c r="AN8" s="9"/>
      <c r="AY8" t="s">
        <v>117</v>
      </c>
      <c r="AZ8" t="s">
        <v>84</v>
      </c>
      <c r="BB8" t="s">
        <v>29</v>
      </c>
      <c r="BD8" t="s">
        <v>137</v>
      </c>
      <c r="BF8" t="s">
        <v>19</v>
      </c>
      <c r="BH8" t="s">
        <v>55</v>
      </c>
    </row>
    <row r="9" spans="1:60" x14ac:dyDescent="0.3">
      <c r="A9" s="9"/>
      <c r="B9" s="1" t="s">
        <v>7</v>
      </c>
      <c r="C9" s="3">
        <f>AVERAGE(C4:C8)</f>
        <v>4.0280000000000005</v>
      </c>
      <c r="D9" s="3">
        <f>AVERAGE(D4:D8)</f>
        <v>6.758</v>
      </c>
      <c r="E9" s="3">
        <f>AVERAGE(E4:E8)</f>
        <v>8.9499999999999993</v>
      </c>
      <c r="F9" s="9"/>
      <c r="G9" s="1" t="s">
        <v>7</v>
      </c>
      <c r="H9" s="3">
        <f>AVERAGE(H4:H8)</f>
        <v>119.2</v>
      </c>
      <c r="I9" s="3">
        <f>AVERAGE(I4:I8)</f>
        <v>117</v>
      </c>
      <c r="J9" s="9"/>
      <c r="K9" s="1" t="s">
        <v>7</v>
      </c>
      <c r="L9" s="3">
        <f>AVERAGE(L4:L8)</f>
        <v>30.1</v>
      </c>
      <c r="M9" s="3">
        <f>AVERAGE(M4:M8)</f>
        <v>30</v>
      </c>
      <c r="N9" s="3">
        <f>AVERAGE(N4:N8)</f>
        <v>1.2888000000000002</v>
      </c>
      <c r="O9" s="3">
        <f>AVERAGE(O4:O8)</f>
        <v>0</v>
      </c>
      <c r="P9" s="9"/>
      <c r="Q9" s="3">
        <f>AVERAGE(Q4:Q8)</f>
        <v>1.2829999999999999</v>
      </c>
      <c r="R9" s="3">
        <f>AVERAGE(R4:R8)</f>
        <v>8.668000000000001</v>
      </c>
      <c r="S9" s="9"/>
      <c r="T9" s="3">
        <f t="shared" ref="T9:U9" si="0">AVERAGE(T4:T8)</f>
        <v>1.2770000000000001</v>
      </c>
      <c r="U9" s="3">
        <f t="shared" si="0"/>
        <v>26.119999999999997</v>
      </c>
      <c r="V9" s="9"/>
      <c r="W9" s="3">
        <f>AVERAGE(W4:W8)</f>
        <v>1.2130000000000001</v>
      </c>
      <c r="X9" s="3">
        <f>AVERAGE(X4:X8)</f>
        <v>238.6</v>
      </c>
      <c r="Y9" s="9"/>
      <c r="Z9" s="3">
        <v>1.109</v>
      </c>
      <c r="AA9" s="3">
        <v>595</v>
      </c>
      <c r="AB9" s="9"/>
      <c r="AD9">
        <v>1.282</v>
      </c>
      <c r="AE9">
        <v>8.49</v>
      </c>
      <c r="AF9" s="6" t="s">
        <v>7</v>
      </c>
      <c r="AG9" s="5">
        <f>AVERAGE(AG4:AG8)</f>
        <v>0</v>
      </c>
      <c r="AH9" s="5">
        <f t="shared" ref="AH9:AM9" si="1">AVERAGE(AH4:AH8)</f>
        <v>1.2911999999999999</v>
      </c>
      <c r="AI9" s="5">
        <f t="shared" si="1"/>
        <v>0</v>
      </c>
      <c r="AJ9" s="14"/>
      <c r="AK9" s="5">
        <f t="shared" si="1"/>
        <v>538.48</v>
      </c>
      <c r="AL9" s="5">
        <f t="shared" si="1"/>
        <v>1.1244000000000001</v>
      </c>
      <c r="AM9" s="5">
        <f t="shared" si="1"/>
        <v>539.4</v>
      </c>
      <c r="AN9" s="9"/>
      <c r="AY9" t="s">
        <v>118</v>
      </c>
      <c r="AZ9" t="s">
        <v>85</v>
      </c>
      <c r="BB9" t="s">
        <v>30</v>
      </c>
      <c r="BD9" t="s">
        <v>138</v>
      </c>
      <c r="BF9" t="s">
        <v>41</v>
      </c>
      <c r="BH9" t="s">
        <v>56</v>
      </c>
    </row>
    <row r="10" spans="1:60" x14ac:dyDescent="0.3">
      <c r="A10" s="9"/>
      <c r="B10" s="1" t="s">
        <v>8</v>
      </c>
      <c r="C10" s="4">
        <f>ABS((C9-4)/4)</f>
        <v>7.0000000000001172E-3</v>
      </c>
      <c r="D10" s="4">
        <f>ABS((D9-6.86)/6.86)</f>
        <v>1.4868804664723076E-2</v>
      </c>
      <c r="E10" s="4">
        <f>ABS((8.95-9.18)/9.18)</f>
        <v>2.5054466230936868E-2</v>
      </c>
      <c r="F10" s="9"/>
      <c r="G10" s="1" t="s">
        <v>8</v>
      </c>
      <c r="H10" s="24">
        <f>ABS((H9-I9)/I9)</f>
        <v>1.8803418803418827E-2</v>
      </c>
      <c r="I10" s="25"/>
      <c r="J10" s="9"/>
      <c r="K10" s="1" t="s">
        <v>8</v>
      </c>
      <c r="L10" s="23">
        <f>ABS((24.238-24)/24)</f>
        <v>9.9166666666666483E-3</v>
      </c>
      <c r="M10" s="23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D10">
        <v>1.2829999999999999</v>
      </c>
      <c r="AE10">
        <v>8.67</v>
      </c>
      <c r="AF10" s="6" t="s">
        <v>165</v>
      </c>
      <c r="AG10" s="20">
        <v>0</v>
      </c>
      <c r="AH10" s="20"/>
      <c r="AI10" s="20"/>
      <c r="AJ10" s="14"/>
      <c r="AK10" s="21">
        <f>ABS((AK9-AM9)/AM9)</f>
        <v>1.7055988134964018E-3</v>
      </c>
      <c r="AL10" s="21"/>
      <c r="AM10" s="21"/>
      <c r="AN10" s="9"/>
      <c r="AY10" t="s">
        <v>114</v>
      </c>
      <c r="AZ10" t="s">
        <v>86</v>
      </c>
      <c r="BB10" t="s">
        <v>30</v>
      </c>
      <c r="BD10" t="s">
        <v>139</v>
      </c>
      <c r="BF10" t="s">
        <v>42</v>
      </c>
      <c r="BH10" t="s">
        <v>57</v>
      </c>
    </row>
    <row r="11" spans="1:60" x14ac:dyDescent="0.3">
      <c r="A11" s="9"/>
      <c r="B11" s="1" t="s">
        <v>170</v>
      </c>
      <c r="C11" s="12">
        <f>1-C10</f>
        <v>0.99299999999999988</v>
      </c>
      <c r="D11" s="12">
        <f>1-D10</f>
        <v>0.98513119533527693</v>
      </c>
      <c r="E11" s="12">
        <f>1-E10</f>
        <v>0.97494553376906312</v>
      </c>
      <c r="F11" s="10"/>
      <c r="G11" s="13" t="s">
        <v>170</v>
      </c>
      <c r="H11" s="26">
        <f>1-H10</f>
        <v>0.98119658119658115</v>
      </c>
      <c r="I11" s="27"/>
      <c r="J11" s="9"/>
      <c r="K11" s="1" t="s">
        <v>170</v>
      </c>
      <c r="L11" s="30">
        <f>1-L10</f>
        <v>0.99008333333333332</v>
      </c>
      <c r="M11" s="30"/>
      <c r="AD11">
        <v>1.282</v>
      </c>
      <c r="AE11">
        <v>8.6199999999999992</v>
      </c>
      <c r="AF11" s="6" t="s">
        <v>170</v>
      </c>
      <c r="AG11" s="20">
        <f>1-AG10</f>
        <v>1</v>
      </c>
      <c r="AH11" s="20"/>
      <c r="AI11" s="20"/>
      <c r="AJ11" s="14"/>
      <c r="AK11" s="21">
        <f>1-AK10</f>
        <v>0.99829440118650359</v>
      </c>
      <c r="AL11" s="21"/>
      <c r="AM11" s="21"/>
      <c r="AN11" s="9"/>
      <c r="AY11" t="s">
        <v>119</v>
      </c>
      <c r="AZ11" t="s">
        <v>87</v>
      </c>
      <c r="BB11" t="s">
        <v>31</v>
      </c>
      <c r="BD11" t="s">
        <v>140</v>
      </c>
      <c r="BF11" t="s">
        <v>16</v>
      </c>
      <c r="BH11" t="s">
        <v>58</v>
      </c>
    </row>
    <row r="12" spans="1:60" x14ac:dyDescent="0.3">
      <c r="A12" s="9"/>
      <c r="B12" s="9"/>
      <c r="C12" s="9"/>
      <c r="D12" s="11"/>
      <c r="E12" s="9"/>
      <c r="F12" s="9"/>
      <c r="I12" s="9"/>
      <c r="J12" s="9"/>
      <c r="K12" s="9"/>
      <c r="L12" s="9"/>
      <c r="M12" s="9"/>
      <c r="AD12">
        <v>1.284</v>
      </c>
      <c r="AE12">
        <v>8.98</v>
      </c>
      <c r="AY12" t="s">
        <v>120</v>
      </c>
      <c r="AZ12" t="s">
        <v>88</v>
      </c>
      <c r="BB12" t="s">
        <v>30</v>
      </c>
      <c r="BD12" t="s">
        <v>141</v>
      </c>
      <c r="BF12" t="s">
        <v>43</v>
      </c>
      <c r="BH12" t="s">
        <v>59</v>
      </c>
    </row>
    <row r="13" spans="1:60" x14ac:dyDescent="0.3">
      <c r="A13" s="9"/>
      <c r="B13" s="9"/>
      <c r="C13" s="9"/>
      <c r="D13" s="9"/>
      <c r="E13" s="9"/>
      <c r="F13" s="9"/>
      <c r="J13" s="9"/>
      <c r="K13" s="9"/>
      <c r="L13" s="9"/>
      <c r="M13" s="9"/>
      <c r="AD13">
        <v>1.284</v>
      </c>
      <c r="AE13">
        <v>8.58</v>
      </c>
      <c r="AY13" t="s">
        <v>121</v>
      </c>
      <c r="AZ13" t="s">
        <v>89</v>
      </c>
      <c r="BB13" t="s">
        <v>31</v>
      </c>
      <c r="BD13" t="s">
        <v>142</v>
      </c>
      <c r="BF13" t="s">
        <v>44</v>
      </c>
      <c r="BH13" t="s">
        <v>60</v>
      </c>
    </row>
    <row r="14" spans="1:60" x14ac:dyDescent="0.3">
      <c r="A14" s="9"/>
      <c r="B14" s="9"/>
      <c r="C14" s="6" t="s">
        <v>1</v>
      </c>
      <c r="D14" s="6" t="s">
        <v>2</v>
      </c>
      <c r="E14" s="6" t="s">
        <v>162</v>
      </c>
      <c r="F14" s="9"/>
      <c r="AD14">
        <f>AVERAGE(AD9:AD13)</f>
        <v>1.2829999999999999</v>
      </c>
      <c r="AE14">
        <f>AVERAGE(AE9:AE13)</f>
        <v>8.668000000000001</v>
      </c>
      <c r="AY14" t="s">
        <v>122</v>
      </c>
      <c r="AZ14" t="s">
        <v>90</v>
      </c>
      <c r="BB14" t="s">
        <v>32</v>
      </c>
      <c r="BD14" t="s">
        <v>143</v>
      </c>
      <c r="BF14" t="s">
        <v>20</v>
      </c>
      <c r="BH14" t="s">
        <v>61</v>
      </c>
    </row>
    <row r="15" spans="1:60" x14ac:dyDescent="0.3">
      <c r="A15" s="9"/>
      <c r="B15" s="9"/>
      <c r="C15" s="7" t="s">
        <v>163</v>
      </c>
      <c r="D15" s="7" t="s">
        <v>164</v>
      </c>
      <c r="E15" s="7" t="s">
        <v>164</v>
      </c>
      <c r="F15" s="9"/>
      <c r="AD15">
        <v>1.2769999999999999</v>
      </c>
      <c r="AE15">
        <v>26.9</v>
      </c>
      <c r="AY15" t="s">
        <v>123</v>
      </c>
      <c r="AZ15" t="s">
        <v>91</v>
      </c>
      <c r="BB15" t="s">
        <v>33</v>
      </c>
      <c r="BD15" t="s">
        <v>144</v>
      </c>
      <c r="BF15" t="s">
        <v>45</v>
      </c>
      <c r="BH15" t="s">
        <v>62</v>
      </c>
    </row>
    <row r="16" spans="1:60" x14ac:dyDescent="0.3">
      <c r="A16" s="9"/>
      <c r="B16" s="9"/>
      <c r="C16" s="5">
        <v>3.0529999999999999</v>
      </c>
      <c r="D16" s="5">
        <v>2.601</v>
      </c>
      <c r="E16" s="5">
        <v>2.2639999999999998</v>
      </c>
      <c r="F16" s="9"/>
      <c r="P16" t="s">
        <v>21</v>
      </c>
      <c r="T16">
        <v>1.276</v>
      </c>
      <c r="U16">
        <v>44.4</v>
      </c>
      <c r="AD16">
        <v>1.276</v>
      </c>
      <c r="AE16">
        <v>26.9</v>
      </c>
      <c r="AY16" t="s">
        <v>118</v>
      </c>
      <c r="AZ16" t="s">
        <v>92</v>
      </c>
      <c r="BB16" t="s">
        <v>31</v>
      </c>
      <c r="BD16" t="s">
        <v>145</v>
      </c>
      <c r="BF16" t="s">
        <v>46</v>
      </c>
      <c r="BH16" t="s">
        <v>63</v>
      </c>
    </row>
    <row r="17" spans="1:60" x14ac:dyDescent="0.3">
      <c r="A17" s="9"/>
      <c r="B17" s="9"/>
      <c r="C17" s="5">
        <v>3.0529999999999999</v>
      </c>
      <c r="D17" s="5">
        <v>2.6040000000000001</v>
      </c>
      <c r="E17" s="5">
        <v>2.2639999999999998</v>
      </c>
      <c r="F17" s="9"/>
      <c r="P17">
        <v>1.0249999999999999</v>
      </c>
      <c r="T17">
        <v>1.2769999999999999</v>
      </c>
      <c r="U17">
        <v>44.8</v>
      </c>
      <c r="AD17">
        <v>1.2769999999999999</v>
      </c>
      <c r="AE17">
        <v>25.8</v>
      </c>
      <c r="AY17" t="s">
        <v>124</v>
      </c>
      <c r="AZ17" t="s">
        <v>92</v>
      </c>
      <c r="BB17" t="s">
        <v>34</v>
      </c>
      <c r="BD17" t="s">
        <v>146</v>
      </c>
      <c r="BF17" t="s">
        <v>45</v>
      </c>
      <c r="BH17" t="s">
        <v>64</v>
      </c>
    </row>
    <row r="18" spans="1:60" x14ac:dyDescent="0.3">
      <c r="A18" s="9"/>
      <c r="B18" s="9"/>
      <c r="C18" s="5">
        <v>3.0510000000000002</v>
      </c>
      <c r="D18" s="5">
        <v>2.605</v>
      </c>
      <c r="E18" s="5">
        <v>2.2639999999999998</v>
      </c>
      <c r="F18" s="9"/>
      <c r="P18" t="s">
        <v>22</v>
      </c>
      <c r="T18">
        <v>1.2769999999999999</v>
      </c>
      <c r="U18">
        <v>42.9</v>
      </c>
      <c r="AD18">
        <v>1.278</v>
      </c>
      <c r="AE18">
        <v>25.4</v>
      </c>
      <c r="AY18" t="s">
        <v>125</v>
      </c>
      <c r="AZ18" t="s">
        <v>93</v>
      </c>
      <c r="BB18" t="s">
        <v>32</v>
      </c>
      <c r="BD18" t="s">
        <v>147</v>
      </c>
      <c r="BF18" t="s">
        <v>18</v>
      </c>
      <c r="BH18" t="s">
        <v>64</v>
      </c>
    </row>
    <row r="19" spans="1:60" x14ac:dyDescent="0.3">
      <c r="A19" s="9"/>
      <c r="B19" s="9"/>
      <c r="C19" s="5">
        <v>3.0529999999999999</v>
      </c>
      <c r="D19" s="5">
        <v>2.605</v>
      </c>
      <c r="E19" s="5">
        <v>2.2599999999999998</v>
      </c>
      <c r="F19" s="9"/>
      <c r="P19" t="s">
        <v>23</v>
      </c>
      <c r="T19">
        <v>1.278</v>
      </c>
      <c r="U19">
        <v>40.6</v>
      </c>
      <c r="AD19">
        <v>1.2769999999999999</v>
      </c>
      <c r="AE19">
        <v>25.6</v>
      </c>
      <c r="AY19" t="s">
        <v>126</v>
      </c>
      <c r="AZ19" t="s">
        <v>94</v>
      </c>
      <c r="BB19" t="s">
        <v>33</v>
      </c>
      <c r="BD19" t="s">
        <v>148</v>
      </c>
      <c r="BF19" t="s">
        <v>47</v>
      </c>
      <c r="BH19" t="s">
        <v>65</v>
      </c>
    </row>
    <row r="20" spans="1:60" x14ac:dyDescent="0.3">
      <c r="A20" s="9"/>
      <c r="B20" s="9"/>
      <c r="C20" s="5">
        <v>3.0539999999999998</v>
      </c>
      <c r="D20" s="5">
        <v>2.605</v>
      </c>
      <c r="E20" s="5">
        <v>2.2610000000000001</v>
      </c>
      <c r="F20" s="9"/>
      <c r="P20" t="s">
        <v>22</v>
      </c>
      <c r="T20">
        <v>1.278</v>
      </c>
      <c r="U20">
        <v>37.799999999999997</v>
      </c>
      <c r="AD20">
        <f t="shared" ref="AD20:AE20" si="2">AVERAGE(AD15:AD19)</f>
        <v>1.2770000000000001</v>
      </c>
      <c r="AE20">
        <f t="shared" si="2"/>
        <v>26.119999999999997</v>
      </c>
      <c r="AY20" t="s">
        <v>127</v>
      </c>
      <c r="AZ20" t="s">
        <v>87</v>
      </c>
      <c r="BB20" t="s">
        <v>30</v>
      </c>
      <c r="BD20" t="s">
        <v>149</v>
      </c>
      <c r="BF20" t="s">
        <v>48</v>
      </c>
      <c r="BH20" t="s">
        <v>66</v>
      </c>
    </row>
    <row r="21" spans="1:60" x14ac:dyDescent="0.3">
      <c r="A21" s="9"/>
      <c r="B21" s="9"/>
      <c r="C21" s="9"/>
      <c r="D21" s="9"/>
      <c r="E21" s="9"/>
      <c r="F21" s="9"/>
      <c r="P21" t="s">
        <v>22</v>
      </c>
      <c r="T21">
        <f>AVERAGE(T16:T20)</f>
        <v>1.2772000000000001</v>
      </c>
      <c r="U21">
        <f>AVERAGE(U16:U20)</f>
        <v>42.1</v>
      </c>
      <c r="AD21">
        <v>1.21</v>
      </c>
      <c r="AE21">
        <v>240</v>
      </c>
      <c r="AY21" t="s">
        <v>128</v>
      </c>
      <c r="AZ21" t="s">
        <v>88</v>
      </c>
      <c r="BB21" t="s">
        <v>35</v>
      </c>
      <c r="BD21" t="s">
        <v>150</v>
      </c>
      <c r="BF21" t="s">
        <v>42</v>
      </c>
      <c r="BH21" t="s">
        <v>67</v>
      </c>
    </row>
    <row r="22" spans="1:60" x14ac:dyDescent="0.3">
      <c r="C22" s="8"/>
      <c r="F22" s="9"/>
      <c r="P22" t="s">
        <v>22</v>
      </c>
      <c r="AD22">
        <v>1.2130000000000001</v>
      </c>
      <c r="AE22">
        <v>245</v>
      </c>
      <c r="AY22" t="s">
        <v>126</v>
      </c>
      <c r="AZ22" t="s">
        <v>95</v>
      </c>
      <c r="BB22" t="s">
        <v>36</v>
      </c>
      <c r="BD22" t="s">
        <v>151</v>
      </c>
      <c r="BF22" t="s">
        <v>14</v>
      </c>
      <c r="BH22" t="s">
        <v>68</v>
      </c>
    </row>
    <row r="23" spans="1:60" x14ac:dyDescent="0.3">
      <c r="P23" t="s">
        <v>24</v>
      </c>
      <c r="AD23">
        <v>1.214</v>
      </c>
      <c r="AE23">
        <v>238</v>
      </c>
      <c r="AY23" t="s">
        <v>129</v>
      </c>
      <c r="AZ23" t="s">
        <v>84</v>
      </c>
      <c r="BB23" t="s">
        <v>28</v>
      </c>
      <c r="BD23" t="s">
        <v>152</v>
      </c>
      <c r="BF23" t="s">
        <v>15</v>
      </c>
      <c r="BH23" t="s">
        <v>69</v>
      </c>
    </row>
    <row r="24" spans="1:60" x14ac:dyDescent="0.3">
      <c r="P24" t="s">
        <v>24</v>
      </c>
      <c r="AD24">
        <v>1.2150000000000001</v>
      </c>
      <c r="AE24">
        <v>236</v>
      </c>
      <c r="AY24" t="s">
        <v>130</v>
      </c>
      <c r="AZ24" t="s">
        <v>13</v>
      </c>
      <c r="BB24" t="s">
        <v>37</v>
      </c>
      <c r="BD24" t="s">
        <v>153</v>
      </c>
      <c r="BF24" t="s">
        <v>49</v>
      </c>
      <c r="BH24" t="s">
        <v>70</v>
      </c>
    </row>
    <row r="25" spans="1:60" x14ac:dyDescent="0.3">
      <c r="C25">
        <v>3.0529999999999999</v>
      </c>
      <c r="D25">
        <v>4.01</v>
      </c>
      <c r="P25" t="s">
        <v>24</v>
      </c>
      <c r="AD25">
        <v>1.2130000000000001</v>
      </c>
      <c r="AE25">
        <v>234</v>
      </c>
      <c r="AY25" t="s">
        <v>131</v>
      </c>
      <c r="AZ25" t="s">
        <v>19</v>
      </c>
      <c r="BB25" t="s">
        <v>37</v>
      </c>
      <c r="BD25" t="s">
        <v>154</v>
      </c>
      <c r="BF25" t="s">
        <v>50</v>
      </c>
      <c r="BH25" t="s">
        <v>71</v>
      </c>
    </row>
    <row r="26" spans="1:60" x14ac:dyDescent="0.3">
      <c r="C26">
        <v>3.0529999999999999</v>
      </c>
      <c r="D26">
        <v>4.01</v>
      </c>
      <c r="P26" t="s">
        <v>22</v>
      </c>
      <c r="AD26">
        <f>AVERAGE(AD21:AD25)</f>
        <v>1.2130000000000001</v>
      </c>
      <c r="AE26">
        <f>AVERAGE(AE21:AE25)</f>
        <v>238.6</v>
      </c>
      <c r="AY26" t="s">
        <v>132</v>
      </c>
      <c r="AZ26" t="s">
        <v>20</v>
      </c>
      <c r="BB26" t="s">
        <v>30</v>
      </c>
      <c r="BD26" t="s">
        <v>155</v>
      </c>
      <c r="BH26" t="s">
        <v>71</v>
      </c>
    </row>
    <row r="27" spans="1:60" x14ac:dyDescent="0.3">
      <c r="C27">
        <v>3.0510000000000002</v>
      </c>
      <c r="D27">
        <v>4.01</v>
      </c>
      <c r="P27" t="s">
        <v>24</v>
      </c>
      <c r="AD27">
        <v>1.08</v>
      </c>
      <c r="AE27">
        <v>681</v>
      </c>
      <c r="BD27" t="s">
        <v>156</v>
      </c>
      <c r="BH27" t="s">
        <v>72</v>
      </c>
    </row>
    <row r="28" spans="1:60" x14ac:dyDescent="0.3">
      <c r="C28">
        <v>3.0529999999999999</v>
      </c>
      <c r="D28">
        <v>4.01</v>
      </c>
      <c r="P28" t="s">
        <v>24</v>
      </c>
      <c r="AD28">
        <v>1.093</v>
      </c>
      <c r="AE28">
        <v>658</v>
      </c>
      <c r="AZ28" t="s">
        <v>96</v>
      </c>
      <c r="BH28" t="s">
        <v>73</v>
      </c>
    </row>
    <row r="29" spans="1:60" x14ac:dyDescent="0.3">
      <c r="C29">
        <v>3.0539999999999998</v>
      </c>
      <c r="D29">
        <v>4.01</v>
      </c>
      <c r="P29" t="s">
        <v>24</v>
      </c>
      <c r="AD29">
        <v>1.0880000000000001</v>
      </c>
      <c r="AE29">
        <v>644</v>
      </c>
      <c r="AZ29" t="s">
        <v>97</v>
      </c>
      <c r="BH29" t="s">
        <v>74</v>
      </c>
    </row>
    <row r="30" spans="1:60" x14ac:dyDescent="0.3">
      <c r="C30">
        <v>2.601</v>
      </c>
      <c r="D30">
        <v>6.85</v>
      </c>
      <c r="P30" t="s">
        <v>24</v>
      </c>
      <c r="AD30">
        <v>1.101</v>
      </c>
      <c r="AE30">
        <v>627</v>
      </c>
      <c r="AZ30" t="s">
        <v>98</v>
      </c>
    </row>
    <row r="31" spans="1:60" x14ac:dyDescent="0.3">
      <c r="C31">
        <v>2.6040000000000001</v>
      </c>
      <c r="D31">
        <v>6.85</v>
      </c>
      <c r="P31" t="s">
        <v>24</v>
      </c>
      <c r="AD31">
        <v>1.1040000000000001</v>
      </c>
      <c r="AE31">
        <v>610</v>
      </c>
      <c r="AZ31" t="s">
        <v>99</v>
      </c>
    </row>
    <row r="32" spans="1:60" x14ac:dyDescent="0.3">
      <c r="C32">
        <v>2.605</v>
      </c>
      <c r="D32">
        <v>6.85</v>
      </c>
      <c r="P32" t="s">
        <v>24</v>
      </c>
      <c r="AD32">
        <v>1.109</v>
      </c>
      <c r="AE32">
        <v>595</v>
      </c>
      <c r="AZ32" t="s">
        <v>100</v>
      </c>
    </row>
    <row r="33" spans="1:52" x14ac:dyDescent="0.3">
      <c r="C33">
        <v>2.605</v>
      </c>
      <c r="D33">
        <v>6.85</v>
      </c>
      <c r="P33" t="s">
        <v>23</v>
      </c>
      <c r="AZ33" t="s">
        <v>101</v>
      </c>
    </row>
    <row r="34" spans="1:52" x14ac:dyDescent="0.3">
      <c r="C34">
        <v>2.605</v>
      </c>
      <c r="D34">
        <v>6.85</v>
      </c>
      <c r="P34" t="s">
        <v>25</v>
      </c>
      <c r="AZ34" t="s">
        <v>102</v>
      </c>
    </row>
    <row r="35" spans="1:52" x14ac:dyDescent="0.3">
      <c r="C35">
        <v>2.2639999999999998</v>
      </c>
      <c r="D35">
        <v>9.14</v>
      </c>
      <c r="P35" t="s">
        <v>22</v>
      </c>
      <c r="AZ35" t="s">
        <v>103</v>
      </c>
    </row>
    <row r="36" spans="1:52" x14ac:dyDescent="0.3">
      <c r="C36">
        <v>2.2639999999999998</v>
      </c>
      <c r="D36">
        <v>9.14</v>
      </c>
      <c r="AZ36" t="s">
        <v>104</v>
      </c>
    </row>
    <row r="37" spans="1:52" x14ac:dyDescent="0.3">
      <c r="C37">
        <v>2.2639999999999998</v>
      </c>
      <c r="D37">
        <v>9.14</v>
      </c>
      <c r="AZ37" t="s">
        <v>105</v>
      </c>
    </row>
    <row r="38" spans="1:52" x14ac:dyDescent="0.3">
      <c r="C38">
        <v>2.2599999999999998</v>
      </c>
      <c r="D38">
        <v>9.14</v>
      </c>
      <c r="AZ38" t="s">
        <v>106</v>
      </c>
    </row>
    <row r="39" spans="1:52" x14ac:dyDescent="0.3">
      <c r="C39">
        <v>2.2610000000000001</v>
      </c>
      <c r="D39">
        <v>9.14</v>
      </c>
      <c r="AZ39" t="s">
        <v>107</v>
      </c>
    </row>
    <row r="40" spans="1:52" x14ac:dyDescent="0.3">
      <c r="AZ40" t="s">
        <v>108</v>
      </c>
    </row>
    <row r="41" spans="1:52" x14ac:dyDescent="0.3">
      <c r="A41" s="9"/>
      <c r="B41" s="32"/>
      <c r="C41" s="31" t="s">
        <v>172</v>
      </c>
      <c r="D41" s="31"/>
      <c r="E41" s="41" t="s">
        <v>168</v>
      </c>
      <c r="AZ41" t="s">
        <v>109</v>
      </c>
    </row>
    <row r="42" spans="1:52" x14ac:dyDescent="0.3">
      <c r="A42" s="9"/>
      <c r="B42" s="33"/>
      <c r="C42" s="15" t="s">
        <v>166</v>
      </c>
      <c r="D42" s="15" t="s">
        <v>167</v>
      </c>
      <c r="E42" s="41"/>
      <c r="AZ42" t="s">
        <v>110</v>
      </c>
    </row>
    <row r="43" spans="1:52" x14ac:dyDescent="0.3">
      <c r="A43" s="9"/>
      <c r="C43" s="34" t="s">
        <v>173</v>
      </c>
      <c r="D43" s="34" t="s">
        <v>174</v>
      </c>
      <c r="E43" s="35">
        <v>25.18</v>
      </c>
      <c r="F43" s="40"/>
      <c r="AZ43" t="s">
        <v>111</v>
      </c>
    </row>
    <row r="44" spans="1:52" x14ac:dyDescent="0.3">
      <c r="A44" s="9"/>
      <c r="C44" s="16" t="s">
        <v>175</v>
      </c>
      <c r="D44" s="16" t="s">
        <v>176</v>
      </c>
      <c r="E44" s="3">
        <v>10.83</v>
      </c>
      <c r="J44" t="s">
        <v>169</v>
      </c>
      <c r="AZ44" t="s">
        <v>112</v>
      </c>
    </row>
    <row r="45" spans="1:52" x14ac:dyDescent="0.3">
      <c r="A45" s="9"/>
      <c r="C45" s="36" t="s">
        <v>177</v>
      </c>
      <c r="D45" s="16" t="s">
        <v>178</v>
      </c>
      <c r="E45" s="3">
        <v>10.9</v>
      </c>
    </row>
    <row r="46" spans="1:52" x14ac:dyDescent="0.3">
      <c r="A46" s="9"/>
      <c r="B46" s="9"/>
      <c r="C46" s="37" t="s">
        <v>181</v>
      </c>
      <c r="D46" s="16" t="s">
        <v>179</v>
      </c>
      <c r="E46" s="3">
        <v>10.99</v>
      </c>
    </row>
    <row r="47" spans="1:52" x14ac:dyDescent="0.3">
      <c r="C47" s="38" t="s">
        <v>182</v>
      </c>
      <c r="D47" s="16" t="s">
        <v>180</v>
      </c>
      <c r="E47" s="3">
        <v>11.05</v>
      </c>
      <c r="AZ47" t="s">
        <v>75</v>
      </c>
    </row>
    <row r="48" spans="1:52" x14ac:dyDescent="0.3">
      <c r="C48" s="39" t="s">
        <v>7</v>
      </c>
      <c r="D48" s="39"/>
      <c r="E48" s="3">
        <f>AVERAGE(E43:E47)</f>
        <v>13.790000000000001</v>
      </c>
      <c r="AZ48" t="s">
        <v>76</v>
      </c>
    </row>
    <row r="49" spans="52:52" x14ac:dyDescent="0.3">
      <c r="AZ49" t="s">
        <v>77</v>
      </c>
    </row>
    <row r="50" spans="52:52" x14ac:dyDescent="0.3">
      <c r="AZ50" t="s">
        <v>78</v>
      </c>
    </row>
    <row r="51" spans="52:52" x14ac:dyDescent="0.3">
      <c r="AZ51" t="s">
        <v>79</v>
      </c>
    </row>
    <row r="52" spans="52:52" x14ac:dyDescent="0.3">
      <c r="AZ52" t="s">
        <v>78</v>
      </c>
    </row>
    <row r="53" spans="52:52" x14ac:dyDescent="0.3">
      <c r="AZ53" t="s">
        <v>78</v>
      </c>
    </row>
    <row r="54" spans="52:52" x14ac:dyDescent="0.3">
      <c r="AZ54" t="s">
        <v>80</v>
      </c>
    </row>
    <row r="56" spans="52:52" x14ac:dyDescent="0.3">
      <c r="AZ56">
        <v>1.02</v>
      </c>
    </row>
  </sheetData>
  <mergeCells count="21">
    <mergeCell ref="C48:D48"/>
    <mergeCell ref="E41:E42"/>
    <mergeCell ref="Z2:AA2"/>
    <mergeCell ref="T2:U2"/>
    <mergeCell ref="C41:D41"/>
    <mergeCell ref="B41:B42"/>
    <mergeCell ref="AK2:AM2"/>
    <mergeCell ref="AG2:AI2"/>
    <mergeCell ref="AG11:AI11"/>
    <mergeCell ref="AK11:AM11"/>
    <mergeCell ref="L2:M2"/>
    <mergeCell ref="N2:O2"/>
    <mergeCell ref="Q2:R2"/>
    <mergeCell ref="L10:M10"/>
    <mergeCell ref="H10:I10"/>
    <mergeCell ref="H11:I11"/>
    <mergeCell ref="H2:I2"/>
    <mergeCell ref="L11:M11"/>
    <mergeCell ref="AK10:AM10"/>
    <mergeCell ref="AG10:AI10"/>
    <mergeCell ref="W2:X2"/>
  </mergeCells>
  <phoneticPr fontId="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Zahid Rabbani</dc:creator>
  <cp:lastModifiedBy>Afit Rabbani</cp:lastModifiedBy>
  <dcterms:created xsi:type="dcterms:W3CDTF">2026-06-12T00:42:45Z</dcterms:created>
  <dcterms:modified xsi:type="dcterms:W3CDTF">2026-07-11T19:51:59Z</dcterms:modified>
</cp:coreProperties>
</file>